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l6\OneDrive\Desktop\"/>
    </mc:Choice>
  </mc:AlternateContent>
  <xr:revisionPtr revIDLastSave="0" documentId="13_ncr:1_{5B61B632-7786-48C4-ABF5-EB976347AD87}" xr6:coauthVersionLast="47" xr6:coauthVersionMax="47" xr10:uidLastSave="{00000000-0000-0000-0000-000000000000}"/>
  <bookViews>
    <workbookView xWindow="-108" yWindow="-108" windowWidth="23256" windowHeight="12456" tabRatio="571" xr2:uid="{C118DA25-0245-40A7-8D4C-59EF6A0F80D8}"/>
  </bookViews>
  <sheets>
    <sheet name="Load Calculator" sheetId="1" r:id="rId1"/>
    <sheet name="System Sizing" sheetId="2" r:id="rId2"/>
    <sheet name="Monthly Yield Report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3" l="1"/>
  <c r="E18" i="3"/>
  <c r="F18" i="3"/>
  <c r="F5" i="3"/>
  <c r="F6" i="3"/>
  <c r="F7" i="3"/>
  <c r="F8" i="3"/>
  <c r="F9" i="3"/>
  <c r="F10" i="3"/>
  <c r="F11" i="3"/>
  <c r="F12" i="3"/>
  <c r="F13" i="3"/>
  <c r="F14" i="3"/>
  <c r="F15" i="3"/>
  <c r="E5" i="3"/>
  <c r="G5" i="3" s="1"/>
  <c r="H5" i="3" s="1"/>
  <c r="E6" i="3"/>
  <c r="G6" i="3" s="1"/>
  <c r="H6" i="3" s="1"/>
  <c r="E7" i="3"/>
  <c r="G7" i="3" s="1"/>
  <c r="H7" i="3" s="1"/>
  <c r="E8" i="3"/>
  <c r="E9" i="3"/>
  <c r="E10" i="3"/>
  <c r="G10" i="3" s="1"/>
  <c r="H10" i="3" s="1"/>
  <c r="E11" i="3"/>
  <c r="G11" i="3" s="1"/>
  <c r="H11" i="3" s="1"/>
  <c r="E12" i="3"/>
  <c r="E13" i="3"/>
  <c r="E14" i="3"/>
  <c r="E15" i="3"/>
  <c r="F4" i="3"/>
  <c r="E4" i="3"/>
  <c r="G4" i="3"/>
  <c r="H4" i="3" s="1"/>
  <c r="C16" i="2"/>
  <c r="C15" i="2"/>
  <c r="C14" i="2"/>
  <c r="C13" i="2"/>
  <c r="C11" i="2"/>
  <c r="C10" i="2"/>
  <c r="C4" i="2"/>
  <c r="F8" i="1"/>
  <c r="F9" i="1"/>
  <c r="F10" i="1"/>
  <c r="F11" i="1"/>
  <c r="F7" i="1"/>
  <c r="F6" i="1"/>
  <c r="G15" i="3" l="1"/>
  <c r="H15" i="3" s="1"/>
  <c r="G14" i="3"/>
  <c r="H14" i="3" s="1"/>
  <c r="G13" i="3"/>
  <c r="H13" i="3" s="1"/>
  <c r="G12" i="3"/>
  <c r="H12" i="3" s="1"/>
  <c r="G9" i="3"/>
  <c r="H9" i="3" s="1"/>
  <c r="G8" i="3"/>
  <c r="H8" i="3" s="1"/>
  <c r="G18" i="3"/>
  <c r="F13" i="1"/>
  <c r="F14" i="1" s="1"/>
</calcChain>
</file>

<file path=xl/sharedStrings.xml><?xml version="1.0" encoding="utf-8"?>
<sst xmlns="http://schemas.openxmlformats.org/spreadsheetml/2006/main" count="66" uniqueCount="65">
  <si>
    <t>Applicance</t>
  </si>
  <si>
    <t>Quantity</t>
  </si>
  <si>
    <t>Wattage (W)</t>
  </si>
  <si>
    <t>Hours/Day</t>
  </si>
  <si>
    <t>Daily Energy (Wh)</t>
  </si>
  <si>
    <t>Notes</t>
  </si>
  <si>
    <t>LED Lights</t>
  </si>
  <si>
    <t>Office lighting</t>
  </si>
  <si>
    <t>Ceiling Fan</t>
  </si>
  <si>
    <t>Air Conditioner</t>
  </si>
  <si>
    <t>Desktop Computer</t>
  </si>
  <si>
    <t>Printer</t>
  </si>
  <si>
    <t>WiFi Router</t>
  </si>
  <si>
    <t>Always on</t>
  </si>
  <si>
    <t>Intermittent</t>
  </si>
  <si>
    <t>Total Daily Load</t>
  </si>
  <si>
    <t>Total Daily Load (kWh)</t>
  </si>
  <si>
    <t>Office Energy Consumption Estimates</t>
  </si>
  <si>
    <t>Labels</t>
  </si>
  <si>
    <t>Values</t>
  </si>
  <si>
    <t>Units</t>
  </si>
  <si>
    <t>Daily Load</t>
  </si>
  <si>
    <t>kWh/Day</t>
  </si>
  <si>
    <t>Peak Sun Hours (PSH)</t>
  </si>
  <si>
    <t>hrs/day</t>
  </si>
  <si>
    <t>System Efficiency (PR)</t>
  </si>
  <si>
    <t>Panel Wattage</t>
  </si>
  <si>
    <t>W</t>
  </si>
  <si>
    <t>Battery Voltage</t>
  </si>
  <si>
    <t>V</t>
  </si>
  <si>
    <t>Depth of Discharge (DOD)</t>
  </si>
  <si>
    <t>Panels Required</t>
  </si>
  <si>
    <t>Total Installed Capacity</t>
  </si>
  <si>
    <t>Peak Load</t>
  </si>
  <si>
    <t>kWp</t>
  </si>
  <si>
    <t>panels</t>
  </si>
  <si>
    <t>Inverter size</t>
  </si>
  <si>
    <t>kVA</t>
  </si>
  <si>
    <t>Battery Capacity Required</t>
  </si>
  <si>
    <t>Ah</t>
  </si>
  <si>
    <t>No. of 100 Ah batteries</t>
  </si>
  <si>
    <t>batteries</t>
  </si>
  <si>
    <t>Approximate System Cost (₹)</t>
  </si>
  <si>
    <t>₹</t>
  </si>
  <si>
    <t>Month</t>
  </si>
  <si>
    <t>Days</t>
  </si>
  <si>
    <t>PSH</t>
  </si>
  <si>
    <t>Yield (kWh)</t>
  </si>
  <si>
    <t>Demand (kWh)</t>
  </si>
  <si>
    <t>Surplus/Deficit (kWh)</t>
  </si>
  <si>
    <t>Status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</si>
  <si>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</si>
  <si>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</si>
  <si>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</si>
  <si>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</si>
  <si>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</si>
  <si>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</si>
  <si>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</si>
  <si>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</si>
  <si>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</si>
  <si>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</si>
  <si>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</si>
  <si>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</si>
  <si>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</si>
  <si>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Annual Specific Yield (kWh/kWp)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</si>
</sst>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Calculator"/>
      <sheetName val="Sheet2"/>
      <sheetName val="Sheet3"/>
    </sheetNames>
    <sheetDataSet>
      <sheetData sheetId="0">
        <row r="14">
          <cell r="F14">
            <v>98.98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5262-6821-448F-AED7-DDF3AD3837E0}">
  <dimension ref="B2:G14"/>
  <sheetViews>
    <sheetView tabSelected="1" workbookViewId="0">
      <selection activeCell="B21" sqref="B21"/>
    </sheetView>
  </sheetViews>
  <sheetFormatPr defaultRowHeight="14.4" x14ac:dyDescent="0.3"/>
  <cols>
    <col min="2" max="2" width="20.77734375" customWidth="1"/>
    <col min="3" max="3" width="14.5546875" customWidth="1"/>
    <col min="4" max="4" width="13.44140625" customWidth="1"/>
    <col min="5" max="5" width="14.109375" customWidth="1"/>
    <col min="6" max="6" width="16.77734375" customWidth="1"/>
    <col min="7" max="7" width="19" customWidth="1"/>
  </cols>
  <sheetData>
    <row r="2" spans="2:7" x14ac:dyDescent="0.3">
      <c r="C2" s="8" t="s">
        <v>17</v>
      </c>
      <c r="D2" s="9"/>
      <c r="E2" s="9"/>
      <c r="F2" s="10"/>
    </row>
    <row r="3" spans="2:7" x14ac:dyDescent="0.3">
      <c r="C3" s="11"/>
      <c r="D3" s="12"/>
      <c r="E3" s="12"/>
      <c r="F3" s="13"/>
    </row>
    <row r="5" spans="2:7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7" x14ac:dyDescent="0.3">
      <c r="B6" s="2" t="s">
        <v>6</v>
      </c>
      <c r="C6" s="2">
        <v>20</v>
      </c>
      <c r="D6" s="2">
        <v>20</v>
      </c>
      <c r="E6" s="2">
        <v>10</v>
      </c>
      <c r="F6" s="2">
        <f>C6*D6*E6</f>
        <v>4000</v>
      </c>
      <c r="G6" s="2" t="s">
        <v>7</v>
      </c>
    </row>
    <row r="7" spans="2:7" x14ac:dyDescent="0.3">
      <c r="B7" s="2" t="s">
        <v>8</v>
      </c>
      <c r="C7" s="2">
        <v>10</v>
      </c>
      <c r="D7" s="2">
        <v>75</v>
      </c>
      <c r="E7" s="2">
        <v>10</v>
      </c>
      <c r="F7" s="2">
        <f>C7*D7*E7</f>
        <v>7500</v>
      </c>
      <c r="G7" s="2"/>
    </row>
    <row r="8" spans="2:7" x14ac:dyDescent="0.3">
      <c r="B8" s="2" t="s">
        <v>9</v>
      </c>
      <c r="C8" s="2">
        <v>10</v>
      </c>
      <c r="D8" s="2">
        <v>800</v>
      </c>
      <c r="E8" s="2">
        <v>10</v>
      </c>
      <c r="F8" s="2">
        <f t="shared" ref="F8:F11" si="0">C8*D8*E8</f>
        <v>80000</v>
      </c>
      <c r="G8" s="2"/>
    </row>
    <row r="9" spans="2:7" x14ac:dyDescent="0.3">
      <c r="B9" s="2" t="s">
        <v>10</v>
      </c>
      <c r="C9" s="2">
        <v>5</v>
      </c>
      <c r="D9" s="2">
        <v>150</v>
      </c>
      <c r="E9" s="2">
        <v>8</v>
      </c>
      <c r="F9" s="2">
        <f t="shared" si="0"/>
        <v>6000</v>
      </c>
      <c r="G9" s="2"/>
    </row>
    <row r="10" spans="2:7" x14ac:dyDescent="0.3">
      <c r="B10" s="2" t="s">
        <v>11</v>
      </c>
      <c r="C10" s="2">
        <v>1</v>
      </c>
      <c r="D10" s="2">
        <v>500</v>
      </c>
      <c r="E10" s="2">
        <v>2</v>
      </c>
      <c r="F10" s="2">
        <f t="shared" si="0"/>
        <v>1000</v>
      </c>
      <c r="G10" s="2" t="s">
        <v>14</v>
      </c>
    </row>
    <row r="11" spans="2:7" x14ac:dyDescent="0.3">
      <c r="B11" s="2" t="s">
        <v>12</v>
      </c>
      <c r="C11" s="2">
        <v>1</v>
      </c>
      <c r="D11" s="2">
        <v>20</v>
      </c>
      <c r="E11" s="2">
        <v>24</v>
      </c>
      <c r="F11" s="2">
        <f t="shared" si="0"/>
        <v>480</v>
      </c>
      <c r="G11" s="2" t="s">
        <v>13</v>
      </c>
    </row>
    <row r="12" spans="2:7" x14ac:dyDescent="0.3">
      <c r="B12" s="2"/>
      <c r="C12" s="2"/>
      <c r="D12" s="2"/>
      <c r="E12" s="2"/>
      <c r="F12" s="2"/>
      <c r="G12" s="2"/>
    </row>
    <row r="13" spans="2:7" x14ac:dyDescent="0.3">
      <c r="B13" s="3" t="s">
        <v>15</v>
      </c>
      <c r="C13" s="2"/>
      <c r="D13" s="2"/>
      <c r="E13" s="2"/>
      <c r="F13" s="3">
        <f>SUM(F6:F11)</f>
        <v>98980</v>
      </c>
      <c r="G13" s="2"/>
    </row>
    <row r="14" spans="2:7" x14ac:dyDescent="0.3">
      <c r="B14" s="4" t="s">
        <v>16</v>
      </c>
      <c r="C14" s="2"/>
      <c r="D14" s="2"/>
      <c r="E14" s="2"/>
      <c r="F14" s="4">
        <f>F13/1000</f>
        <v>98.98</v>
      </c>
      <c r="G14" s="2"/>
    </row>
  </sheetData>
  <mergeCells count="1">
    <mergeCell ref="C2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0BE7-B143-41C2-BDF6-A694B3B83CBA}">
  <dimension ref="B3:D16"/>
  <sheetViews>
    <sheetView workbookViewId="0">
      <selection activeCell="G9" sqref="G9"/>
    </sheetView>
  </sheetViews>
  <sheetFormatPr defaultRowHeight="14.4" x14ac:dyDescent="0.3"/>
  <cols>
    <col min="2" max="2" width="35.88671875" customWidth="1"/>
    <col min="3" max="3" width="18" customWidth="1"/>
    <col min="4" max="4" width="26" customWidth="1"/>
  </cols>
  <sheetData>
    <row r="3" spans="2:4" x14ac:dyDescent="0.3">
      <c r="B3" s="1" t="s">
        <v>18</v>
      </c>
      <c r="C3" s="1" t="s">
        <v>19</v>
      </c>
      <c r="D3" s="1" t="s">
        <v>20</v>
      </c>
    </row>
    <row r="4" spans="2:4" x14ac:dyDescent="0.3">
      <c r="B4" s="2" t="s">
        <v>21</v>
      </c>
      <c r="C4" s="2">
        <f>'[1]Load Calculator'!F14</f>
        <v>98.98</v>
      </c>
      <c r="D4" s="2" t="s">
        <v>22</v>
      </c>
    </row>
    <row r="5" spans="2:4" x14ac:dyDescent="0.3">
      <c r="B5" s="2" t="s">
        <v>23</v>
      </c>
      <c r="C5" s="2">
        <v>4.8</v>
      </c>
      <c r="D5" s="2" t="s">
        <v>24</v>
      </c>
    </row>
    <row r="6" spans="2:4" x14ac:dyDescent="0.3">
      <c r="B6" s="2" t="s">
        <v>25</v>
      </c>
      <c r="C6" s="2">
        <v>0.8</v>
      </c>
      <c r="D6" s="2"/>
    </row>
    <row r="7" spans="2:4" x14ac:dyDescent="0.3">
      <c r="B7" s="2" t="s">
        <v>26</v>
      </c>
      <c r="C7" s="2">
        <v>400</v>
      </c>
      <c r="D7" s="2" t="s">
        <v>27</v>
      </c>
    </row>
    <row r="8" spans="2:4" x14ac:dyDescent="0.3">
      <c r="B8" s="2" t="s">
        <v>28</v>
      </c>
      <c r="C8" s="2">
        <v>48</v>
      </c>
      <c r="D8" s="2" t="s">
        <v>29</v>
      </c>
    </row>
    <row r="9" spans="2:4" x14ac:dyDescent="0.3">
      <c r="B9" s="2" t="s">
        <v>30</v>
      </c>
      <c r="C9" s="2">
        <v>0.5</v>
      </c>
      <c r="D9" s="2"/>
    </row>
    <row r="10" spans="2:4" x14ac:dyDescent="0.3">
      <c r="B10" s="2" t="s">
        <v>31</v>
      </c>
      <c r="C10" s="6">
        <f>CEILING((C4*1000)/(C8*C5*C6),1)</f>
        <v>538</v>
      </c>
      <c r="D10" s="2" t="s">
        <v>35</v>
      </c>
    </row>
    <row r="11" spans="2:4" x14ac:dyDescent="0.3">
      <c r="B11" s="2" t="s">
        <v>32</v>
      </c>
      <c r="C11" s="6">
        <f>C10*C7/1000</f>
        <v>215.2</v>
      </c>
      <c r="D11" s="6" t="s">
        <v>34</v>
      </c>
    </row>
    <row r="12" spans="2:4" x14ac:dyDescent="0.3">
      <c r="B12" s="2" t="s">
        <v>33</v>
      </c>
      <c r="C12" s="2">
        <v>1900</v>
      </c>
      <c r="D12" s="6" t="s">
        <v>27</v>
      </c>
    </row>
    <row r="13" spans="2:4" x14ac:dyDescent="0.3">
      <c r="B13" s="2" t="s">
        <v>36</v>
      </c>
      <c r="C13" s="6">
        <f>CEILING(C12*1.25/1000,0.5)</f>
        <v>2.5</v>
      </c>
      <c r="D13" s="2" t="s">
        <v>37</v>
      </c>
    </row>
    <row r="14" spans="2:4" x14ac:dyDescent="0.3">
      <c r="B14" s="2" t="s">
        <v>38</v>
      </c>
      <c r="C14" s="6">
        <f>CEILING((C4*1000)/(C8*C9),1)</f>
        <v>4125</v>
      </c>
      <c r="D14" s="2" t="s">
        <v>39</v>
      </c>
    </row>
    <row r="15" spans="2:4" x14ac:dyDescent="0.3">
      <c r="B15" s="2" t="s">
        <v>40</v>
      </c>
      <c r="C15" s="6">
        <f>CEILING(C14/100,1)</f>
        <v>42</v>
      </c>
      <c r="D15" s="2" t="s">
        <v>41</v>
      </c>
    </row>
    <row r="16" spans="2:4" x14ac:dyDescent="0.3">
      <c r="B16" s="14" t="s">
        <v>42</v>
      </c>
      <c r="C16" s="15">
        <f>C11*45000</f>
        <v>9684000</v>
      </c>
      <c r="D16" s="1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9B9E-D4D6-49BA-905A-D5159E8916FA}">
  <dimension ref="B3:H21"/>
  <sheetViews>
    <sheetView workbookViewId="0">
      <selection activeCell="H25" sqref="H25"/>
    </sheetView>
  </sheetViews>
  <sheetFormatPr defaultRowHeight="14.4" x14ac:dyDescent="0.3"/>
  <cols>
    <col min="2" max="2" width="20.109375" customWidth="1"/>
    <col min="3" max="3" width="11.44140625" customWidth="1"/>
    <col min="4" max="4" width="12.77734375" customWidth="1"/>
    <col min="5" max="5" width="19.44140625" customWidth="1"/>
    <col min="6" max="6" width="19.88671875" customWidth="1"/>
    <col min="7" max="7" width="20.77734375" customWidth="1"/>
    <col min="8" max="8" width="23.21875" customWidth="1"/>
  </cols>
  <sheetData>
    <row r="3" spans="2:8" x14ac:dyDescent="0.3">
      <c r="B3" s="5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</row>
    <row r="4" spans="2:8" x14ac:dyDescent="0.3">
      <c r="B4" s="6" t="s">
        <v>51</v>
      </c>
      <c r="C4" s="6">
        <v>31</v>
      </c>
      <c r="D4" s="6">
        <v>4.8</v>
      </c>
      <c r="E4" s="5">
        <f>215.2*C4*D4*0.8</f>
        <v>25617.407999999999</v>
      </c>
      <c r="F4" s="5">
        <f>98.98*C4</f>
        <v>3068.38</v>
      </c>
      <c r="G4" s="5">
        <f>E4-F4</f>
        <v>22549.027999999998</v>
      </c>
      <c r="H4" s="5" t="str">
        <f>IF(G4&gt;0,"SURPLUS","DEFICIT")</f>
        <v>SURPLUS</v>
      </c>
    </row>
    <row r="5" spans="2:8" x14ac:dyDescent="0.3">
      <c r="B5" s="6" t="s">
        <v>52</v>
      </c>
      <c r="C5" s="6">
        <v>28</v>
      </c>
      <c r="D5" s="6">
        <v>5.4</v>
      </c>
      <c r="E5" s="5">
        <f t="shared" ref="E5:E15" si="0">215.2*C5*D5*0.8</f>
        <v>26030.592000000001</v>
      </c>
      <c r="F5" s="5">
        <f t="shared" ref="F5:F15" si="1">98.98*C5</f>
        <v>2771.44</v>
      </c>
      <c r="G5" s="5">
        <f t="shared" ref="G5:G15" si="2">E5-F5</f>
        <v>23259.152000000002</v>
      </c>
      <c r="H5" s="5" t="str">
        <f t="shared" ref="H5:H15" si="3">IF(G5&gt;0,"SURPLUS","DEFICIT")</f>
        <v>SURPLUS</v>
      </c>
    </row>
    <row r="6" spans="2:8" x14ac:dyDescent="0.3">
      <c r="B6" s="6" t="s">
        <v>53</v>
      </c>
      <c r="C6" s="6">
        <v>31</v>
      </c>
      <c r="D6" s="6">
        <v>6</v>
      </c>
      <c r="E6" s="5">
        <f t="shared" si="0"/>
        <v>32021.759999999998</v>
      </c>
      <c r="F6" s="5">
        <f t="shared" si="1"/>
        <v>3068.38</v>
      </c>
      <c r="G6" s="5">
        <f t="shared" si="2"/>
        <v>28953.379999999997</v>
      </c>
      <c r="H6" s="5" t="str">
        <f t="shared" si="3"/>
        <v>SURPLUS</v>
      </c>
    </row>
    <row r="7" spans="2:8" x14ac:dyDescent="0.3">
      <c r="B7" s="6" t="s">
        <v>54</v>
      </c>
      <c r="C7" s="6">
        <v>30</v>
      </c>
      <c r="D7" s="6">
        <v>6.3</v>
      </c>
      <c r="E7" s="5">
        <f t="shared" si="0"/>
        <v>32538.239999999998</v>
      </c>
      <c r="F7" s="5">
        <f t="shared" si="1"/>
        <v>2969.4</v>
      </c>
      <c r="G7" s="5">
        <f t="shared" si="2"/>
        <v>29568.839999999997</v>
      </c>
      <c r="H7" s="5" t="str">
        <f t="shared" si="3"/>
        <v>SURPLUS</v>
      </c>
    </row>
    <row r="8" spans="2:8" x14ac:dyDescent="0.3">
      <c r="B8" s="6" t="s">
        <v>55</v>
      </c>
      <c r="C8" s="6">
        <v>31</v>
      </c>
      <c r="D8" s="6">
        <v>6.1</v>
      </c>
      <c r="E8" s="5">
        <f t="shared" si="0"/>
        <v>32555.456000000002</v>
      </c>
      <c r="F8" s="5">
        <f t="shared" si="1"/>
        <v>3068.38</v>
      </c>
      <c r="G8" s="5">
        <f t="shared" si="2"/>
        <v>29487.076000000001</v>
      </c>
      <c r="H8" s="5" t="str">
        <f t="shared" si="3"/>
        <v>SURPLUS</v>
      </c>
    </row>
    <row r="9" spans="2:8" x14ac:dyDescent="0.3">
      <c r="B9" s="6" t="s">
        <v>56</v>
      </c>
      <c r="C9" s="6">
        <v>30</v>
      </c>
      <c r="D9" s="6">
        <v>5.2</v>
      </c>
      <c r="E9" s="5">
        <f t="shared" si="0"/>
        <v>26856.960000000006</v>
      </c>
      <c r="F9" s="5">
        <f t="shared" si="1"/>
        <v>2969.4</v>
      </c>
      <c r="G9" s="5">
        <f t="shared" si="2"/>
        <v>23887.560000000005</v>
      </c>
      <c r="H9" s="5" t="str">
        <f t="shared" si="3"/>
        <v>SURPLUS</v>
      </c>
    </row>
    <row r="10" spans="2:8" x14ac:dyDescent="0.3">
      <c r="B10" s="6" t="s">
        <v>57</v>
      </c>
      <c r="C10" s="6">
        <v>31</v>
      </c>
      <c r="D10" s="6">
        <v>4.5999999999999996</v>
      </c>
      <c r="E10" s="5">
        <f t="shared" si="0"/>
        <v>24550.016</v>
      </c>
      <c r="F10" s="5">
        <f t="shared" si="1"/>
        <v>3068.38</v>
      </c>
      <c r="G10" s="5">
        <f t="shared" si="2"/>
        <v>21481.635999999999</v>
      </c>
      <c r="H10" s="5" t="str">
        <f t="shared" si="3"/>
        <v>SURPLUS</v>
      </c>
    </row>
    <row r="11" spans="2:8" x14ac:dyDescent="0.3">
      <c r="B11" s="6" t="s">
        <v>58</v>
      </c>
      <c r="C11" s="6">
        <v>31</v>
      </c>
      <c r="D11" s="6">
        <v>4.8</v>
      </c>
      <c r="E11" s="5">
        <f t="shared" si="0"/>
        <v>25617.407999999999</v>
      </c>
      <c r="F11" s="5">
        <f t="shared" si="1"/>
        <v>3068.38</v>
      </c>
      <c r="G11" s="5">
        <f t="shared" si="2"/>
        <v>22549.027999999998</v>
      </c>
      <c r="H11" s="5" t="str">
        <f t="shared" si="3"/>
        <v>SURPLUS</v>
      </c>
    </row>
    <row r="12" spans="2:8" x14ac:dyDescent="0.3">
      <c r="B12" s="6" t="s">
        <v>59</v>
      </c>
      <c r="C12" s="6">
        <v>30</v>
      </c>
      <c r="D12" s="6">
        <v>5.5</v>
      </c>
      <c r="E12" s="5">
        <f t="shared" si="0"/>
        <v>28406.400000000001</v>
      </c>
      <c r="F12" s="5">
        <f t="shared" si="1"/>
        <v>2969.4</v>
      </c>
      <c r="G12" s="5">
        <f t="shared" si="2"/>
        <v>25437</v>
      </c>
      <c r="H12" s="5" t="str">
        <f t="shared" si="3"/>
        <v>SURPLUS</v>
      </c>
    </row>
    <row r="13" spans="2:8" x14ac:dyDescent="0.3">
      <c r="B13" s="6" t="s">
        <v>60</v>
      </c>
      <c r="C13" s="6">
        <v>31</v>
      </c>
      <c r="D13" s="6">
        <v>5.8</v>
      </c>
      <c r="E13" s="5">
        <f t="shared" si="0"/>
        <v>30954.368000000002</v>
      </c>
      <c r="F13" s="5">
        <f t="shared" si="1"/>
        <v>3068.38</v>
      </c>
      <c r="G13" s="5">
        <f t="shared" si="2"/>
        <v>27885.988000000001</v>
      </c>
      <c r="H13" s="5" t="str">
        <f t="shared" si="3"/>
        <v>SURPLUS</v>
      </c>
    </row>
    <row r="14" spans="2:8" x14ac:dyDescent="0.3">
      <c r="B14" s="6" t="s">
        <v>61</v>
      </c>
      <c r="C14" s="6">
        <v>30</v>
      </c>
      <c r="D14" s="6">
        <v>5.2</v>
      </c>
      <c r="E14" s="5">
        <f t="shared" si="0"/>
        <v>26856.960000000006</v>
      </c>
      <c r="F14" s="5">
        <f t="shared" si="1"/>
        <v>2969.4</v>
      </c>
      <c r="G14" s="5">
        <f t="shared" si="2"/>
        <v>23887.560000000005</v>
      </c>
      <c r="H14" s="5" t="str">
        <f t="shared" si="3"/>
        <v>SURPLUS</v>
      </c>
    </row>
    <row r="15" spans="2:8" x14ac:dyDescent="0.3">
      <c r="B15" s="6" t="s">
        <v>62</v>
      </c>
      <c r="C15" s="6">
        <v>31</v>
      </c>
      <c r="D15" s="6">
        <v>4.5999999999999996</v>
      </c>
      <c r="E15" s="5">
        <f t="shared" si="0"/>
        <v>24550.016</v>
      </c>
      <c r="F15" s="5">
        <f t="shared" si="1"/>
        <v>3068.38</v>
      </c>
      <c r="G15" s="5">
        <f t="shared" si="2"/>
        <v>21481.635999999999</v>
      </c>
      <c r="H15" s="5" t="str">
        <f t="shared" si="3"/>
        <v>SURPLUS</v>
      </c>
    </row>
    <row r="16" spans="2:8" x14ac:dyDescent="0.3">
      <c r="B16" s="6"/>
      <c r="C16" s="6"/>
      <c r="D16" s="6"/>
      <c r="E16" s="6"/>
      <c r="F16" s="6"/>
      <c r="G16" s="6"/>
      <c r="H16" s="6"/>
    </row>
    <row r="18" spans="2:8" x14ac:dyDescent="0.3">
      <c r="B18" s="1" t="s">
        <v>63</v>
      </c>
      <c r="C18" s="1"/>
      <c r="D18" s="1"/>
      <c r="E18" s="1">
        <f>SUM(E4:E15)</f>
        <v>336555.58400000003</v>
      </c>
      <c r="F18" s="1">
        <f>SUM(F4:F15)</f>
        <v>36127.700000000004</v>
      </c>
      <c r="G18" s="1">
        <f>SUM(G4:G15)</f>
        <v>300427.88400000002</v>
      </c>
      <c r="H18" s="1"/>
    </row>
    <row r="21" spans="2:8" x14ac:dyDescent="0.3">
      <c r="D21" s="7" t="s">
        <v>64</v>
      </c>
      <c r="E21" s="7"/>
      <c r="F21" s="7">
        <f>E18/215.2</f>
        <v>1563.9200000000003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Calculator</vt:lpstr>
      <vt:lpstr>System Sizing</vt:lpstr>
      <vt:lpstr>Monthly Yield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RUDRANEEL BHATTACHARYYA</dc:creator>
  <cp:lastModifiedBy>RUDRANEEL BHATTACHARYYA</cp:lastModifiedBy>
  <dcterms:created xsi:type="dcterms:W3CDTF">2026-04-09T02:55:35Z</dcterms:created>
  <dcterms:modified xsi:type="dcterms:W3CDTF">2026-04-09T03:46:30Z</dcterms:modified>
</cp:coreProperties>
</file>